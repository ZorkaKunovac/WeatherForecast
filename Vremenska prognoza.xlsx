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30770F-B949-4CB3-96CA-6EA2303A15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7" i="1" l="1" a="1"/>
  <c r="Z47" i="1" s="1"/>
  <c r="E71" i="1"/>
  <c r="Y47" i="1" l="1"/>
  <c r="AA47" i="1"/>
  <c r="H116" i="1"/>
  <c r="E116" i="1"/>
  <c r="H112" i="1"/>
  <c r="E112" i="1"/>
  <c r="H108" i="1"/>
  <c r="E97" i="1"/>
  <c r="E93" i="1"/>
  <c r="H97" i="1"/>
  <c r="H93" i="1"/>
  <c r="H89" i="1"/>
  <c r="H79" i="1"/>
  <c r="E79" i="1"/>
  <c r="H75" i="1"/>
  <c r="E75" i="1"/>
  <c r="H71" i="1"/>
  <c r="Y52" i="1" a="1"/>
  <c r="Y52" i="1" s="1"/>
  <c r="Y39" i="1" a="1"/>
  <c r="Y39" i="1" s="1"/>
  <c r="T39" i="1" a="1"/>
  <c r="T39" i="1" s="1"/>
  <c r="N32" i="1"/>
  <c r="N33" i="1"/>
  <c r="N31" i="1"/>
  <c r="P59" i="1"/>
  <c r="Q59" i="1"/>
  <c r="O59" i="1"/>
  <c r="L59" i="1"/>
  <c r="K59" i="1"/>
  <c r="G26" i="1"/>
  <c r="H26" i="1"/>
  <c r="F26" i="1"/>
  <c r="O25" i="1"/>
  <c r="O26" i="1"/>
  <c r="O24" i="1"/>
  <c r="C35" i="1"/>
  <c r="B35" i="1"/>
  <c r="AA52" i="1" l="1"/>
  <c r="Z52" i="1"/>
  <c r="Y53" i="1" s="1" a="1"/>
  <c r="AA39" i="1"/>
  <c r="Z39" i="1"/>
  <c r="V39" i="1"/>
  <c r="U39" i="1"/>
  <c r="T40" i="1" s="1" a="1"/>
  <c r="Y53" i="1" l="1"/>
  <c r="AA53" i="1"/>
  <c r="Z53" i="1"/>
  <c r="T40" i="1"/>
  <c r="V40" i="1"/>
  <c r="U40" i="1"/>
  <c r="Y40" i="1" a="1"/>
  <c r="AA40" i="1" s="1"/>
  <c r="Y54" i="1" l="1" a="1"/>
  <c r="Z40" i="1"/>
  <c r="Y40" i="1"/>
  <c r="Y41" i="1" s="1" a="1"/>
  <c r="T41" i="1" a="1"/>
  <c r="AA54" i="1" l="1"/>
  <c r="Y54" i="1"/>
  <c r="Z54" i="1"/>
  <c r="T41" i="1"/>
  <c r="V41" i="1"/>
  <c r="U41" i="1"/>
  <c r="Y41" i="1"/>
  <c r="Z41" i="1"/>
  <c r="AA41" i="1"/>
  <c r="T42" i="1" l="1" a="1"/>
  <c r="T42" i="1" s="1"/>
  <c r="Y55" i="1" a="1"/>
  <c r="Y42" i="1" a="1"/>
  <c r="U42" i="1" l="1"/>
  <c r="V42" i="1"/>
  <c r="T43" i="1" a="1"/>
  <c r="T43" i="1" s="1"/>
  <c r="Z55" i="1"/>
  <c r="AA55" i="1"/>
  <c r="Y55" i="1"/>
  <c r="Z42" i="1"/>
  <c r="Y42" i="1"/>
  <c r="AA42" i="1"/>
  <c r="V43" i="1" l="1"/>
  <c r="U43" i="1"/>
  <c r="Y56" i="1" a="1"/>
  <c r="Y56" i="1" s="1"/>
  <c r="Y43" i="1" a="1"/>
  <c r="AA56" i="1" l="1"/>
  <c r="T44" i="1" a="1"/>
  <c r="T44" i="1" s="1"/>
  <c r="Z56" i="1"/>
  <c r="Y57" i="1" a="1"/>
  <c r="Y57" i="1" s="1"/>
  <c r="Y43" i="1"/>
  <c r="Z43" i="1"/>
  <c r="AA43" i="1"/>
  <c r="U44" i="1" l="1"/>
  <c r="V44" i="1"/>
  <c r="AA57" i="1"/>
  <c r="Z57" i="1"/>
  <c r="Y58" i="1" s="1" a="1"/>
  <c r="Z58" i="1" s="1"/>
  <c r="Y44" i="1" a="1"/>
  <c r="AA44" i="1" s="1"/>
  <c r="T45" i="1" l="1" a="1"/>
  <c r="U45" i="1" s="1"/>
  <c r="Y58" i="1"/>
  <c r="AA58" i="1"/>
  <c r="Z44" i="1"/>
  <c r="Y44" i="1"/>
  <c r="Y45" i="1" l="1" a="1"/>
  <c r="Z45" i="1" s="1"/>
  <c r="V45" i="1"/>
  <c r="T45" i="1"/>
  <c r="Y59" i="1" a="1"/>
  <c r="Y45" i="1" l="1"/>
  <c r="T46" i="1" a="1"/>
  <c r="U46" i="1" s="1"/>
  <c r="AA45" i="1"/>
  <c r="Y46" i="1" s="1" a="1"/>
  <c r="AA59" i="1"/>
  <c r="Y59" i="1"/>
  <c r="Z59" i="1"/>
  <c r="V46" i="1" l="1"/>
  <c r="T46" i="1"/>
  <c r="T47" i="1" s="1" a="1"/>
  <c r="V47" i="1" s="1"/>
  <c r="E108" i="1" s="1"/>
  <c r="M108" i="1" s="1"/>
  <c r="O108" i="1" s="1"/>
  <c r="Y60" i="1" a="1"/>
  <c r="Y60" i="1" s="1"/>
  <c r="AA46" i="1"/>
  <c r="Y46" i="1"/>
  <c r="Z46" i="1"/>
  <c r="U47" i="1" l="1"/>
  <c r="T47" i="1"/>
  <c r="Z60" i="1"/>
  <c r="AA60" i="1"/>
  <c r="M70" i="1" l="1"/>
  <c r="O70" i="1" s="1"/>
  <c r="E89" i="1"/>
  <c r="M90" i="1" s="1"/>
  <c r="O90" i="1" s="1"/>
</calcChain>
</file>

<file path=xl/sharedStrings.xml><?xml version="1.0" encoding="utf-8"?>
<sst xmlns="http://schemas.openxmlformats.org/spreadsheetml/2006/main" count="115" uniqueCount="49">
  <si>
    <t>Rain</t>
  </si>
  <si>
    <t>Weather in Mostar for April</t>
  </si>
  <si>
    <t>Sunny</t>
  </si>
  <si>
    <t>Cloudy</t>
  </si>
  <si>
    <t>Transition matrix</t>
  </si>
  <si>
    <t>1. Ako je sistem u stanju Sunny kolika je vjerovatnoća da će pri sljedećem posmatranju biti u stanju Sunny?</t>
  </si>
  <si>
    <t>Vidimo da je sistem bio u stanju Sunny 11 puta. U 8 slučajeva sistem je ostao u stanju Sunny</t>
  </si>
  <si>
    <t>2. Ako je sistem u stanju Sunny kolika je vjerovatnoća da će pri sljedećem posmatranju biti u stanju Cloud a kolika da će biti u stanju Rain?</t>
  </si>
  <si>
    <t>3. Ako je sistem u stanju Cloudy kolika je vjerovatnoća da će pri sljedećem posmatranju biti u stanju Cloudy?</t>
  </si>
  <si>
    <t>Po priloženim podacima iz stanja Cloudy se u sva ostala stanja prešlo po 2 slučaja.</t>
  </si>
  <si>
    <t>Sistem je u 2  slučaja iz Sunny prešao u stanje Cloudy a samo 1 u stanje Rain.</t>
  </si>
  <si>
    <t>4. Ako je sistem u stanju Rain kolika je vjerovatnoća da će pri sljedećem posmatranju biti u stanju Rain?</t>
  </si>
  <si>
    <t>Risk</t>
  </si>
  <si>
    <t>Not Risk</t>
  </si>
  <si>
    <t>Not risk</t>
  </si>
  <si>
    <t>1. primjer</t>
  </si>
  <si>
    <t>Računanje vjerovatnoće određenih događaja</t>
  </si>
  <si>
    <t>5. Koja je najvjerovatniji vremenski redoslijed za posmatrani zdravstveni status?</t>
  </si>
  <si>
    <t>P(x1=Sunny)</t>
  </si>
  <si>
    <t>P(y1=Risk | x1=Sunny)</t>
  </si>
  <si>
    <t>&gt;</t>
  </si>
  <si>
    <t>|</t>
  </si>
  <si>
    <t>P(y2=Risk | x2=Sunny)</t>
  </si>
  <si>
    <t>P(y3=Risk | x3=Sunny)</t>
  </si>
  <si>
    <t>P(x2=Cloudy | x1=Sunny)</t>
  </si>
  <si>
    <t>P(y2=Not Risk | x2=Cloudy)</t>
  </si>
  <si>
    <t>P(y3=Risk | x3=Rain)</t>
  </si>
  <si>
    <t>P(x3=Rain | x2=Cloudy)</t>
  </si>
  <si>
    <t>P(x2=Sunny | x1=Sunny)</t>
  </si>
  <si>
    <t>P(x3=Sunny | x2=Sunny)</t>
  </si>
  <si>
    <t>P(x1=Rain)</t>
  </si>
  <si>
    <t>P(y1=Risk | x1=Rain)</t>
  </si>
  <si>
    <t>P(x2=Cloudy | x1=Rain)</t>
  </si>
  <si>
    <t>P(y3=Not Risk | x3=Cloudy)</t>
  </si>
  <si>
    <t>P(x3=Cloudy | x2=Cloudy)</t>
  </si>
  <si>
    <t>Min. temp</t>
  </si>
  <si>
    <t>Max. temp.</t>
  </si>
  <si>
    <t>Barometer (mbar)</t>
  </si>
  <si>
    <t>Weather in Mostar for period from 20.5 to 9.6.</t>
  </si>
  <si>
    <t>Sum</t>
  </si>
  <si>
    <t>Date</t>
  </si>
  <si>
    <t>Rješenje=</t>
  </si>
  <si>
    <t>=</t>
  </si>
  <si>
    <t>2. primjer</t>
  </si>
  <si>
    <t>3. primjer</t>
  </si>
  <si>
    <t xml:space="preserve"> *</t>
  </si>
  <si>
    <t xml:space="preserve"> =</t>
  </si>
  <si>
    <t>*</t>
  </si>
  <si>
    <t>. 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</si>
</sst>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8">
    <xf numFmtId="0" fontId="0" fillId="0" borderId="0" xfId="0"/>
    <xf numFmtId="0" fontId="1" fillId="2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Border="1"/>
    <xf numFmtId="0" fontId="0" fillId="0" borderId="1" xfId="0" applyFill="1" applyBorder="1"/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/>
    <xf numFmtId="0" fontId="0" fillId="0" borderId="0" xfId="0" applyAlignment="1"/>
    <xf numFmtId="0" fontId="1" fillId="2" borderId="1" xfId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Alignment="1">
      <alignment horizontal="center"/>
    </xf>
    <xf numFmtId="10" fontId="2" fillId="2" borderId="12" xfId="1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3" fillId="0" borderId="0" xfId="0" applyNumberFormat="1" applyFont="1" applyAlignment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right" vertic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right" vertical="center"/>
    </xf>
    <xf numFmtId="164" fontId="0" fillId="0" borderId="18" xfId="0" applyNumberFormat="1" applyBorder="1" applyAlignment="1">
      <alignment horizontal="right" vertical="center"/>
    </xf>
    <xf numFmtId="164" fontId="0" fillId="0" borderId="3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0" fontId="2" fillId="2" borderId="1" xfId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2" fillId="2" borderId="1" xfId="1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16"/>
  <sheetViews>
    <sheetView tabSelected="1" topLeftCell="D1" workbookViewId="0">
      <selection activeCell="V54" sqref="V54"/>
    </sheetView>
  </sheetViews>
  <sheetFormatPr defaultRowHeight="15" x14ac:dyDescent="0.25"/>
  <cols>
    <col min="1" max="1" width="0" hidden="1" customWidth="1"/>
    <col min="2" max="2" width="16.5703125" hidden="1" customWidth="1"/>
    <col min="3" max="3" width="5.140625" hidden="1" customWidth="1"/>
    <col min="5" max="5" width="10.140625" customWidth="1"/>
    <col min="6" max="6" width="9.5703125" customWidth="1"/>
    <col min="7" max="7" width="10" customWidth="1"/>
    <col min="8" max="8" width="10.140625" customWidth="1"/>
    <col min="11" max="11" width="9.7109375" customWidth="1"/>
    <col min="12" max="12" width="10.7109375" customWidth="1"/>
    <col min="35" max="45" width="9.140625" customWidth="1"/>
    <col min="46" max="46" width="10.42578125" customWidth="1"/>
  </cols>
  <sheetData>
    <row r="2" spans="1:11" x14ac:dyDescent="0.25">
      <c r="A2" s="56" t="s">
        <v>1</v>
      </c>
      <c r="B2" s="56"/>
      <c r="C2" s="56"/>
      <c r="E2" s="56" t="s">
        <v>38</v>
      </c>
      <c r="F2" s="56"/>
      <c r="G2" s="56"/>
      <c r="H2" s="56"/>
      <c r="I2" s="56"/>
    </row>
    <row r="4" spans="1:11" x14ac:dyDescent="0.25">
      <c r="A4" s="5"/>
      <c r="B4" s="4" t="s">
        <v>2</v>
      </c>
      <c r="C4" s="4" t="s">
        <v>3</v>
      </c>
      <c r="E4" s="5"/>
      <c r="F4" s="4" t="s">
        <v>2</v>
      </c>
      <c r="G4" s="4" t="s">
        <v>3</v>
      </c>
      <c r="H4" s="4" t="s">
        <v>0</v>
      </c>
      <c r="I4" s="4" t="s">
        <v>40</v>
      </c>
    </row>
    <row r="5" spans="1:11" x14ac:dyDescent="0.25">
      <c r="A5" s="3">
        <v>1</v>
      </c>
      <c r="B5" s="2">
        <v>0</v>
      </c>
      <c r="C5" s="2">
        <v>0</v>
      </c>
      <c r="E5" s="3">
        <v>1</v>
      </c>
      <c r="F5" s="2">
        <v>1</v>
      </c>
      <c r="G5" s="2">
        <v>0</v>
      </c>
      <c r="H5" s="2">
        <v>0</v>
      </c>
      <c r="I5" s="34">
        <v>44701</v>
      </c>
      <c r="K5" t="s">
        <v>5</v>
      </c>
    </row>
    <row r="6" spans="1:11" x14ac:dyDescent="0.25">
      <c r="A6" s="3">
        <v>2</v>
      </c>
      <c r="B6" s="2">
        <v>0</v>
      </c>
      <c r="C6" s="2">
        <v>0</v>
      </c>
      <c r="E6" s="3">
        <v>2</v>
      </c>
      <c r="F6" s="2">
        <v>1</v>
      </c>
      <c r="G6" s="2">
        <v>0</v>
      </c>
      <c r="H6" s="2">
        <v>0</v>
      </c>
      <c r="I6" s="34">
        <v>44702</v>
      </c>
    </row>
    <row r="7" spans="1:11" x14ac:dyDescent="0.25">
      <c r="A7" s="3">
        <v>3</v>
      </c>
      <c r="B7" s="2">
        <v>0</v>
      </c>
      <c r="C7" s="2">
        <v>1</v>
      </c>
      <c r="E7" s="3">
        <v>3</v>
      </c>
      <c r="F7" s="2">
        <v>0</v>
      </c>
      <c r="G7" s="2">
        <v>0</v>
      </c>
      <c r="H7" s="2">
        <v>1</v>
      </c>
      <c r="I7" s="34">
        <v>44703</v>
      </c>
      <c r="K7" t="s">
        <v>6</v>
      </c>
    </row>
    <row r="8" spans="1:11" x14ac:dyDescent="0.25">
      <c r="A8" s="3">
        <v>4</v>
      </c>
      <c r="B8" s="2">
        <v>1</v>
      </c>
      <c r="C8" s="2">
        <v>0</v>
      </c>
      <c r="E8" s="3">
        <v>4</v>
      </c>
      <c r="F8" s="2">
        <v>0</v>
      </c>
      <c r="G8" s="2">
        <v>1</v>
      </c>
      <c r="H8" s="2">
        <v>0</v>
      </c>
      <c r="I8" s="34">
        <v>44704</v>
      </c>
    </row>
    <row r="9" spans="1:11" x14ac:dyDescent="0.25">
      <c r="A9" s="3">
        <v>5</v>
      </c>
      <c r="B9" s="2">
        <v>1</v>
      </c>
      <c r="C9" s="2">
        <v>0</v>
      </c>
      <c r="E9" s="3">
        <v>5</v>
      </c>
      <c r="F9" s="2">
        <v>0</v>
      </c>
      <c r="G9" s="2">
        <v>1</v>
      </c>
      <c r="H9" s="2">
        <v>0</v>
      </c>
      <c r="I9" s="34">
        <v>44705</v>
      </c>
      <c r="K9" t="s">
        <v>7</v>
      </c>
    </row>
    <row r="10" spans="1:11" x14ac:dyDescent="0.25">
      <c r="A10" s="3">
        <v>6</v>
      </c>
      <c r="B10" s="2">
        <v>1</v>
      </c>
      <c r="C10" s="2">
        <v>0</v>
      </c>
      <c r="E10" s="3">
        <v>6</v>
      </c>
      <c r="F10" s="2">
        <v>1</v>
      </c>
      <c r="G10" s="2">
        <v>0</v>
      </c>
      <c r="H10" s="2">
        <v>0</v>
      </c>
      <c r="I10" s="34">
        <v>44706</v>
      </c>
    </row>
    <row r="11" spans="1:11" x14ac:dyDescent="0.25">
      <c r="A11" s="3">
        <v>7</v>
      </c>
      <c r="B11" s="2">
        <v>0</v>
      </c>
      <c r="C11" s="2">
        <v>0</v>
      </c>
      <c r="E11" s="3">
        <v>7</v>
      </c>
      <c r="F11" s="2">
        <v>1</v>
      </c>
      <c r="G11" s="2">
        <v>0</v>
      </c>
      <c r="H11" s="2">
        <v>0</v>
      </c>
      <c r="I11" s="34">
        <v>44707</v>
      </c>
      <c r="K11" t="s">
        <v>10</v>
      </c>
    </row>
    <row r="12" spans="1:11" x14ac:dyDescent="0.25">
      <c r="A12" s="3">
        <v>8</v>
      </c>
      <c r="B12" s="2">
        <v>0</v>
      </c>
      <c r="C12" s="2">
        <v>1</v>
      </c>
      <c r="E12" s="3">
        <v>8</v>
      </c>
      <c r="F12" s="2">
        <v>1</v>
      </c>
      <c r="G12" s="2">
        <v>0</v>
      </c>
      <c r="H12" s="2">
        <v>0</v>
      </c>
      <c r="I12" s="34">
        <v>44708</v>
      </c>
    </row>
    <row r="13" spans="1:11" x14ac:dyDescent="0.25">
      <c r="A13" s="3">
        <v>9</v>
      </c>
      <c r="B13" s="2">
        <v>0</v>
      </c>
      <c r="C13" s="2">
        <v>1</v>
      </c>
      <c r="E13" s="3">
        <v>9</v>
      </c>
      <c r="F13" s="2">
        <v>0</v>
      </c>
      <c r="G13" s="2">
        <v>1</v>
      </c>
      <c r="H13" s="2">
        <v>0</v>
      </c>
      <c r="I13" s="34">
        <v>44709</v>
      </c>
      <c r="K13" t="s">
        <v>8</v>
      </c>
    </row>
    <row r="14" spans="1:11" x14ac:dyDescent="0.25">
      <c r="A14" s="3">
        <v>10</v>
      </c>
      <c r="B14" s="2">
        <v>0</v>
      </c>
      <c r="C14" s="2">
        <v>1</v>
      </c>
      <c r="E14" s="3">
        <v>10</v>
      </c>
      <c r="F14" s="2">
        <v>0</v>
      </c>
      <c r="G14" s="2">
        <v>0</v>
      </c>
      <c r="H14" s="2">
        <v>1</v>
      </c>
      <c r="I14" s="34">
        <v>44710</v>
      </c>
    </row>
    <row r="15" spans="1:11" x14ac:dyDescent="0.25">
      <c r="A15" s="3">
        <v>11</v>
      </c>
      <c r="B15" s="2">
        <v>1</v>
      </c>
      <c r="C15" s="2">
        <v>0</v>
      </c>
      <c r="E15" s="3">
        <v>11</v>
      </c>
      <c r="F15" s="2">
        <v>0</v>
      </c>
      <c r="G15" s="2">
        <v>1</v>
      </c>
      <c r="H15" s="2">
        <v>0</v>
      </c>
      <c r="I15" s="34">
        <v>44711</v>
      </c>
      <c r="K15" t="s">
        <v>9</v>
      </c>
    </row>
    <row r="16" spans="1:11" x14ac:dyDescent="0.25">
      <c r="A16" s="3">
        <v>12</v>
      </c>
      <c r="B16" s="2">
        <v>1</v>
      </c>
      <c r="C16" s="2">
        <v>0</v>
      </c>
      <c r="E16" s="3">
        <v>12</v>
      </c>
      <c r="F16" s="2">
        <v>0</v>
      </c>
      <c r="G16" s="2">
        <v>1</v>
      </c>
      <c r="H16" s="2">
        <v>0</v>
      </c>
      <c r="I16" s="34">
        <v>44712</v>
      </c>
    </row>
    <row r="17" spans="1:15" x14ac:dyDescent="0.25">
      <c r="A17" s="3">
        <v>13</v>
      </c>
      <c r="B17" s="2">
        <v>1</v>
      </c>
      <c r="C17" s="2">
        <v>0</v>
      </c>
      <c r="E17" s="3">
        <v>13</v>
      </c>
      <c r="F17" s="2">
        <v>1</v>
      </c>
      <c r="G17" s="2">
        <v>0</v>
      </c>
      <c r="H17" s="2">
        <v>0</v>
      </c>
      <c r="I17" s="34">
        <v>44713</v>
      </c>
      <c r="K17" t="s">
        <v>11</v>
      </c>
    </row>
    <row r="18" spans="1:15" x14ac:dyDescent="0.25">
      <c r="A18" s="3">
        <v>14</v>
      </c>
      <c r="B18" s="2">
        <v>1</v>
      </c>
      <c r="C18" s="2">
        <v>0</v>
      </c>
      <c r="E18" s="3">
        <v>14</v>
      </c>
      <c r="F18" s="2">
        <v>1</v>
      </c>
      <c r="G18" s="2">
        <v>0</v>
      </c>
      <c r="H18" s="2">
        <v>0</v>
      </c>
      <c r="I18" s="34">
        <v>44714</v>
      </c>
      <c r="K18" t="s">
        <v>17</v>
      </c>
    </row>
    <row r="19" spans="1:15" x14ac:dyDescent="0.25">
      <c r="A19" s="3">
        <v>15</v>
      </c>
      <c r="B19" s="2">
        <v>1</v>
      </c>
      <c r="C19" s="2">
        <v>0</v>
      </c>
      <c r="E19" s="3">
        <v>15</v>
      </c>
      <c r="F19" s="2">
        <v>1</v>
      </c>
      <c r="G19" s="2">
        <v>0</v>
      </c>
      <c r="H19" s="2">
        <v>0</v>
      </c>
      <c r="I19" s="34">
        <v>44715</v>
      </c>
    </row>
    <row r="20" spans="1:15" x14ac:dyDescent="0.25">
      <c r="A20" s="3">
        <v>16</v>
      </c>
      <c r="B20" s="2">
        <v>1</v>
      </c>
      <c r="C20" s="2">
        <v>0</v>
      </c>
      <c r="E20" s="3">
        <v>16</v>
      </c>
      <c r="F20" s="2">
        <v>1</v>
      </c>
      <c r="G20" s="2">
        <v>0</v>
      </c>
      <c r="H20" s="2">
        <v>0</v>
      </c>
      <c r="I20" s="34">
        <v>44716</v>
      </c>
    </row>
    <row r="21" spans="1:15" x14ac:dyDescent="0.25">
      <c r="A21" s="3">
        <v>17</v>
      </c>
      <c r="B21" s="2">
        <v>0</v>
      </c>
      <c r="C21" s="2">
        <v>1</v>
      </c>
      <c r="E21" s="3">
        <v>17</v>
      </c>
      <c r="F21" s="2">
        <v>1</v>
      </c>
      <c r="G21" s="2">
        <v>0</v>
      </c>
      <c r="H21" s="2">
        <v>0</v>
      </c>
      <c r="I21" s="34">
        <v>44717</v>
      </c>
      <c r="L21" s="56" t="s">
        <v>4</v>
      </c>
      <c r="M21" s="56"/>
    </row>
    <row r="22" spans="1:15" x14ac:dyDescent="0.25">
      <c r="A22" s="3">
        <v>18</v>
      </c>
      <c r="B22" s="2">
        <v>0</v>
      </c>
      <c r="C22" s="2">
        <v>1</v>
      </c>
      <c r="E22" s="3">
        <v>18</v>
      </c>
      <c r="F22" s="8">
        <v>1</v>
      </c>
      <c r="G22" s="8">
        <v>0</v>
      </c>
      <c r="H22" s="10">
        <v>0</v>
      </c>
      <c r="I22" s="34">
        <v>44718</v>
      </c>
    </row>
    <row r="23" spans="1:15" x14ac:dyDescent="0.25">
      <c r="A23" s="3">
        <v>19</v>
      </c>
      <c r="B23" s="2">
        <v>1</v>
      </c>
      <c r="C23" s="2">
        <v>0</v>
      </c>
      <c r="E23" s="3">
        <v>19</v>
      </c>
      <c r="F23" s="11">
        <v>0</v>
      </c>
      <c r="G23" s="2">
        <v>1</v>
      </c>
      <c r="H23" s="2">
        <v>0</v>
      </c>
      <c r="I23" s="34">
        <v>44719</v>
      </c>
      <c r="K23" s="13"/>
      <c r="L23" s="14" t="s">
        <v>2</v>
      </c>
      <c r="M23" s="14" t="s">
        <v>3</v>
      </c>
      <c r="N23" s="14" t="s">
        <v>0</v>
      </c>
    </row>
    <row r="24" spans="1:15" x14ac:dyDescent="0.25">
      <c r="A24" s="3">
        <v>20</v>
      </c>
      <c r="B24" s="2">
        <v>0</v>
      </c>
      <c r="C24" s="2">
        <v>0</v>
      </c>
      <c r="E24" s="3">
        <v>20</v>
      </c>
      <c r="F24" s="11">
        <v>0</v>
      </c>
      <c r="G24" s="11">
        <v>0</v>
      </c>
      <c r="H24" s="11">
        <v>1</v>
      </c>
      <c r="I24" s="34">
        <v>44720</v>
      </c>
      <c r="K24" s="14" t="s">
        <v>2</v>
      </c>
      <c r="L24" s="15">
        <v>0.7</v>
      </c>
      <c r="M24" s="15">
        <v>0.2</v>
      </c>
      <c r="N24" s="15">
        <v>0.1</v>
      </c>
      <c r="O24">
        <f>SUM(L24:N24)</f>
        <v>0.99999999999999989</v>
      </c>
    </row>
    <row r="25" spans="1:15" x14ac:dyDescent="0.25">
      <c r="A25" s="3">
        <v>21</v>
      </c>
      <c r="B25" s="2">
        <v>0</v>
      </c>
      <c r="C25" s="2">
        <v>0</v>
      </c>
      <c r="E25" s="3">
        <v>21</v>
      </c>
      <c r="F25" s="11">
        <v>0</v>
      </c>
      <c r="G25" s="11">
        <v>0</v>
      </c>
      <c r="H25" s="11">
        <v>1</v>
      </c>
      <c r="I25" s="34">
        <v>44721</v>
      </c>
      <c r="K25" s="14" t="s">
        <v>3</v>
      </c>
      <c r="L25" s="15">
        <v>0.4</v>
      </c>
      <c r="M25" s="15">
        <v>0.3</v>
      </c>
      <c r="N25" s="15">
        <v>0.3</v>
      </c>
      <c r="O25">
        <f t="shared" ref="O25:O26" si="0">SUM(L25:N25)</f>
        <v>1</v>
      </c>
    </row>
    <row r="26" spans="1:15" x14ac:dyDescent="0.25">
      <c r="A26" s="3">
        <v>22</v>
      </c>
      <c r="B26" s="2">
        <v>0</v>
      </c>
      <c r="C26" s="2">
        <v>0</v>
      </c>
      <c r="E26" s="3" t="s">
        <v>39</v>
      </c>
      <c r="F26" s="33">
        <f>SUM(F5:F25)</f>
        <v>11</v>
      </c>
      <c r="G26" s="33">
        <f t="shared" ref="G26:H26" si="1">SUM(G5:G25)</f>
        <v>6</v>
      </c>
      <c r="H26" s="33">
        <f t="shared" si="1"/>
        <v>4</v>
      </c>
      <c r="K26" s="14" t="s">
        <v>0</v>
      </c>
      <c r="L26" s="15">
        <v>0</v>
      </c>
      <c r="M26" s="15">
        <v>0.7</v>
      </c>
      <c r="N26" s="15">
        <v>0.3</v>
      </c>
      <c r="O26">
        <f t="shared" si="0"/>
        <v>1</v>
      </c>
    </row>
    <row r="27" spans="1:15" x14ac:dyDescent="0.25">
      <c r="A27" s="3">
        <v>23</v>
      </c>
      <c r="B27" s="2">
        <v>0</v>
      </c>
      <c r="C27" s="2">
        <v>1</v>
      </c>
      <c r="E27" s="6"/>
      <c r="K27" s="16"/>
      <c r="L27" s="16"/>
      <c r="M27" s="16"/>
      <c r="N27" s="16"/>
    </row>
    <row r="28" spans="1:15" x14ac:dyDescent="0.25">
      <c r="A28" s="3">
        <v>24</v>
      </c>
      <c r="B28" s="2">
        <v>0</v>
      </c>
      <c r="C28" s="2">
        <v>1</v>
      </c>
      <c r="E28" s="6"/>
      <c r="F28" s="7">
        <v>0.55000000000000004</v>
      </c>
      <c r="G28" s="9">
        <v>0.3</v>
      </c>
      <c r="H28" s="9">
        <v>0.15</v>
      </c>
    </row>
    <row r="29" spans="1:15" x14ac:dyDescent="0.25">
      <c r="A29" s="3">
        <v>25</v>
      </c>
      <c r="B29" s="2">
        <v>0</v>
      </c>
      <c r="C29" s="2">
        <v>1</v>
      </c>
    </row>
    <row r="30" spans="1:15" x14ac:dyDescent="0.25">
      <c r="A30" s="3">
        <v>26</v>
      </c>
      <c r="B30" s="2">
        <v>0</v>
      </c>
      <c r="C30" s="2">
        <v>1</v>
      </c>
      <c r="K30" s="13"/>
      <c r="L30" s="14" t="s">
        <v>12</v>
      </c>
      <c r="M30" s="14" t="s">
        <v>13</v>
      </c>
    </row>
    <row r="31" spans="1:15" x14ac:dyDescent="0.25">
      <c r="A31" s="3">
        <v>27</v>
      </c>
      <c r="B31" s="2">
        <v>1</v>
      </c>
      <c r="C31" s="2">
        <v>0</v>
      </c>
      <c r="K31" s="14" t="s">
        <v>2</v>
      </c>
      <c r="L31" s="15">
        <v>0.55000000000000004</v>
      </c>
      <c r="M31" s="15">
        <v>0.45</v>
      </c>
      <c r="N31">
        <f>SUM(L31:M31)</f>
        <v>1</v>
      </c>
    </row>
    <row r="32" spans="1:15" x14ac:dyDescent="0.25">
      <c r="A32" s="3">
        <v>28</v>
      </c>
      <c r="B32" s="2">
        <v>0</v>
      </c>
      <c r="C32" s="2">
        <v>1</v>
      </c>
      <c r="K32" s="14" t="s">
        <v>3</v>
      </c>
      <c r="L32" s="15">
        <v>0.3</v>
      </c>
      <c r="M32" s="15">
        <v>0.7</v>
      </c>
      <c r="N32">
        <f t="shared" ref="N32:N33" si="2">SUM(L32:M32)</f>
        <v>1</v>
      </c>
    </row>
    <row r="33" spans="1:27" x14ac:dyDescent="0.25">
      <c r="A33" s="3">
        <v>29</v>
      </c>
      <c r="B33" s="2">
        <v>0</v>
      </c>
      <c r="C33" s="2">
        <v>1</v>
      </c>
      <c r="K33" s="14" t="s">
        <v>0</v>
      </c>
      <c r="L33" s="15">
        <v>0.75</v>
      </c>
      <c r="M33" s="15">
        <v>0.25</v>
      </c>
      <c r="N33">
        <f t="shared" si="2"/>
        <v>1</v>
      </c>
    </row>
    <row r="34" spans="1:27" x14ac:dyDescent="0.25">
      <c r="A34" s="3">
        <v>30</v>
      </c>
      <c r="B34" s="2">
        <v>0</v>
      </c>
      <c r="C34" s="2">
        <v>1</v>
      </c>
    </row>
    <row r="35" spans="1:27" x14ac:dyDescent="0.25">
      <c r="B35" s="1">
        <f>SUM(B5:B34)</f>
        <v>11</v>
      </c>
      <c r="C35" s="1">
        <f>SUM(C5:C34)</f>
        <v>13</v>
      </c>
      <c r="F35" s="32"/>
    </row>
    <row r="36" spans="1:27" ht="15" customHeight="1" x14ac:dyDescent="0.25">
      <c r="F36" s="54" t="s">
        <v>35</v>
      </c>
      <c r="G36" s="55" t="s">
        <v>36</v>
      </c>
      <c r="H36" s="54" t="s">
        <v>37</v>
      </c>
      <c r="I36" s="57" t="s">
        <v>40</v>
      </c>
    </row>
    <row r="37" spans="1:27" x14ac:dyDescent="0.25">
      <c r="F37" s="54"/>
      <c r="G37" s="55"/>
      <c r="H37" s="54"/>
      <c r="I37" s="57"/>
      <c r="K37" s="14" t="s">
        <v>12</v>
      </c>
      <c r="L37" s="14" t="s">
        <v>14</v>
      </c>
      <c r="N37" s="5"/>
      <c r="O37" s="12" t="s">
        <v>2</v>
      </c>
      <c r="P37" s="12" t="s">
        <v>3</v>
      </c>
      <c r="Q37" s="12" t="s">
        <v>0</v>
      </c>
      <c r="T37" s="12" t="s">
        <v>2</v>
      </c>
      <c r="U37" s="12" t="s">
        <v>3</v>
      </c>
      <c r="V37" s="12" t="s">
        <v>0</v>
      </c>
      <c r="Y37" s="12" t="s">
        <v>2</v>
      </c>
      <c r="Z37" s="12" t="s">
        <v>3</v>
      </c>
      <c r="AA37" s="12" t="s">
        <v>0</v>
      </c>
    </row>
    <row r="38" spans="1:27" x14ac:dyDescent="0.25">
      <c r="E38" s="3">
        <v>1</v>
      </c>
      <c r="F38" s="15">
        <v>8</v>
      </c>
      <c r="G38" s="15">
        <v>30</v>
      </c>
      <c r="H38" s="15">
        <v>1024</v>
      </c>
      <c r="I38" s="35">
        <v>44701</v>
      </c>
      <c r="K38" s="15">
        <v>0</v>
      </c>
      <c r="L38" s="15">
        <v>1</v>
      </c>
      <c r="N38" s="3">
        <v>1</v>
      </c>
      <c r="O38" s="2">
        <v>1</v>
      </c>
      <c r="P38" s="2">
        <v>0</v>
      </c>
      <c r="Q38" s="2">
        <v>0</v>
      </c>
      <c r="S38" s="3">
        <v>1</v>
      </c>
      <c r="T38" s="19">
        <v>1</v>
      </c>
      <c r="U38" s="19">
        <v>0</v>
      </c>
      <c r="V38" s="19">
        <v>0</v>
      </c>
      <c r="X38" s="3">
        <v>1</v>
      </c>
      <c r="Y38" s="19">
        <v>0</v>
      </c>
      <c r="Z38" s="19">
        <v>1</v>
      </c>
      <c r="AA38" s="19">
        <v>0</v>
      </c>
    </row>
    <row r="39" spans="1:27" x14ac:dyDescent="0.25">
      <c r="E39" s="3">
        <v>2</v>
      </c>
      <c r="F39" s="15">
        <v>9</v>
      </c>
      <c r="G39" s="15">
        <v>31</v>
      </c>
      <c r="H39" s="15">
        <v>1015</v>
      </c>
      <c r="I39" s="35">
        <v>44702</v>
      </c>
      <c r="K39" s="15">
        <v>0</v>
      </c>
      <c r="L39" s="15">
        <v>1</v>
      </c>
      <c r="N39" s="3">
        <v>2</v>
      </c>
      <c r="O39" s="2">
        <v>1</v>
      </c>
      <c r="P39" s="2">
        <v>0</v>
      </c>
      <c r="Q39" s="2">
        <v>0</v>
      </c>
      <c r="S39" s="3">
        <v>2</v>
      </c>
      <c r="T39" s="19">
        <f t="array" ref="T39:V39">MMULT(T38:V38,$L$24:$N$26)</f>
        <v>0.7</v>
      </c>
      <c r="U39" s="19">
        <v>0.2</v>
      </c>
      <c r="V39" s="19">
        <v>0.1</v>
      </c>
      <c r="X39" s="3">
        <v>2</v>
      </c>
      <c r="Y39" s="2">
        <f t="array" ref="Y39:AA39">MMULT(Y38:AA38,$L$24:$N$26)</f>
        <v>0.4</v>
      </c>
      <c r="Z39" s="2">
        <v>0.3</v>
      </c>
      <c r="AA39" s="2">
        <v>0.3</v>
      </c>
    </row>
    <row r="40" spans="1:27" x14ac:dyDescent="0.25">
      <c r="E40" s="3">
        <v>3</v>
      </c>
      <c r="F40" s="15">
        <v>14</v>
      </c>
      <c r="G40" s="15">
        <v>30</v>
      </c>
      <c r="H40" s="15">
        <v>1009</v>
      </c>
      <c r="I40" s="35">
        <v>44703</v>
      </c>
      <c r="K40" s="15">
        <v>1</v>
      </c>
      <c r="L40" s="15">
        <v>0</v>
      </c>
      <c r="N40" s="3">
        <v>3</v>
      </c>
      <c r="O40" s="2">
        <v>0</v>
      </c>
      <c r="P40" s="2">
        <v>0</v>
      </c>
      <c r="Q40" s="2">
        <v>1</v>
      </c>
      <c r="S40" s="3">
        <v>3</v>
      </c>
      <c r="T40" s="19">
        <f t="array" ref="T40:V40">MMULT(T39:V39,$L$24:$N$26)</f>
        <v>0.56999999999999995</v>
      </c>
      <c r="U40" s="19">
        <v>0.26999999999999996</v>
      </c>
      <c r="V40" s="19">
        <v>0.16</v>
      </c>
      <c r="X40" s="3">
        <v>3</v>
      </c>
      <c r="Y40" s="2">
        <f t="array" ref="Y40:AA40">MMULT(Y39:AA39,$L$24:$N$26)</f>
        <v>0.39999999999999997</v>
      </c>
      <c r="Z40" s="2">
        <v>0.38</v>
      </c>
      <c r="AA40" s="2">
        <v>0.22</v>
      </c>
    </row>
    <row r="41" spans="1:27" x14ac:dyDescent="0.25">
      <c r="E41" s="3">
        <v>4</v>
      </c>
      <c r="F41" s="15">
        <v>15</v>
      </c>
      <c r="G41" s="15">
        <v>29</v>
      </c>
      <c r="H41" s="15">
        <v>1009</v>
      </c>
      <c r="I41" s="35">
        <v>44704</v>
      </c>
      <c r="K41" s="15">
        <v>0</v>
      </c>
      <c r="L41" s="15">
        <v>1</v>
      </c>
      <c r="N41" s="3">
        <v>4</v>
      </c>
      <c r="O41" s="2">
        <v>0</v>
      </c>
      <c r="P41" s="2">
        <v>1</v>
      </c>
      <c r="Q41" s="2">
        <v>0</v>
      </c>
      <c r="S41" s="3">
        <v>4</v>
      </c>
      <c r="T41" s="19">
        <f t="array" ref="T41:V41">MMULT(T40:V40,$L$24:$N$26)</f>
        <v>0.5069999999999999</v>
      </c>
      <c r="U41" s="19">
        <v>0.30699999999999994</v>
      </c>
      <c r="V41" s="19">
        <v>0.186</v>
      </c>
      <c r="X41" s="3">
        <v>4</v>
      </c>
      <c r="Y41" s="2">
        <f t="array" ref="Y41:AA41">MMULT(Y40:AA40,$L$24:$N$26)</f>
        <v>0.432</v>
      </c>
      <c r="Z41" s="2">
        <v>0.34799999999999998</v>
      </c>
      <c r="AA41" s="2">
        <v>0.22</v>
      </c>
    </row>
    <row r="42" spans="1:27" x14ac:dyDescent="0.25">
      <c r="E42" s="3">
        <v>5</v>
      </c>
      <c r="F42" s="15">
        <v>14</v>
      </c>
      <c r="G42" s="15">
        <v>32</v>
      </c>
      <c r="H42" s="15">
        <v>1009</v>
      </c>
      <c r="I42" s="35">
        <v>44705</v>
      </c>
      <c r="K42" s="15">
        <v>0</v>
      </c>
      <c r="L42" s="15">
        <v>1</v>
      </c>
      <c r="N42" s="3">
        <v>5</v>
      </c>
      <c r="O42" s="2">
        <v>0</v>
      </c>
      <c r="P42" s="2">
        <v>1</v>
      </c>
      <c r="Q42" s="2">
        <v>0</v>
      </c>
      <c r="S42" s="3">
        <v>5</v>
      </c>
      <c r="T42" s="20">
        <f t="array" ref="T42:V42">MMULT(T41:V41,$L$24:$N$26)</f>
        <v>0.47769999999999985</v>
      </c>
      <c r="U42" s="20">
        <v>0.32369999999999993</v>
      </c>
      <c r="V42" s="20">
        <v>0.19859999999999997</v>
      </c>
      <c r="X42" s="3">
        <v>5</v>
      </c>
      <c r="Y42" s="21">
        <f t="array" ref="Y42:AA42">MMULT(Y41:AA41,$L$24:$N$26)</f>
        <v>0.44159999999999999</v>
      </c>
      <c r="Z42" s="21">
        <v>0.3448</v>
      </c>
      <c r="AA42" s="21">
        <v>0.21360000000000001</v>
      </c>
    </row>
    <row r="43" spans="1:27" x14ac:dyDescent="0.25">
      <c r="E43" s="3">
        <v>6</v>
      </c>
      <c r="F43" s="15">
        <v>17</v>
      </c>
      <c r="G43" s="15">
        <v>33</v>
      </c>
      <c r="H43" s="15">
        <v>1013</v>
      </c>
      <c r="I43" s="35">
        <v>44706</v>
      </c>
      <c r="K43" s="15">
        <v>0</v>
      </c>
      <c r="L43" s="15">
        <v>1</v>
      </c>
      <c r="N43" s="3">
        <v>6</v>
      </c>
      <c r="O43" s="2">
        <v>1</v>
      </c>
      <c r="P43" s="2">
        <v>0</v>
      </c>
      <c r="Q43" s="2">
        <v>0</v>
      </c>
      <c r="S43" s="3">
        <v>6</v>
      </c>
      <c r="T43" s="20">
        <f t="array" ref="T43:V43">MMULT(T42:V42,$L$24:$N$26)</f>
        <v>0.46386999999999984</v>
      </c>
      <c r="U43" s="20">
        <v>0.33166999999999991</v>
      </c>
      <c r="V43" s="20">
        <v>0.20445999999999995</v>
      </c>
      <c r="X43" s="3">
        <v>6</v>
      </c>
      <c r="Y43" s="21">
        <f t="array" ref="Y43:AA43">MMULT(Y42:AA42,$L$24:$N$26)</f>
        <v>0.44703999999999999</v>
      </c>
      <c r="Z43" s="21">
        <v>0.34127999999999997</v>
      </c>
      <c r="AA43" s="21">
        <v>0.21168000000000001</v>
      </c>
    </row>
    <row r="44" spans="1:27" x14ac:dyDescent="0.25">
      <c r="E44" s="3">
        <v>7</v>
      </c>
      <c r="F44" s="15">
        <v>17</v>
      </c>
      <c r="G44" s="15">
        <v>33</v>
      </c>
      <c r="H44" s="15">
        <v>1018</v>
      </c>
      <c r="I44" s="35">
        <v>44707</v>
      </c>
      <c r="K44" s="15">
        <v>0</v>
      </c>
      <c r="L44" s="15">
        <v>1</v>
      </c>
      <c r="N44" s="3">
        <v>7</v>
      </c>
      <c r="O44" s="2">
        <v>1</v>
      </c>
      <c r="P44" s="2">
        <v>0</v>
      </c>
      <c r="Q44" s="2">
        <v>0</v>
      </c>
      <c r="S44" s="3">
        <v>7</v>
      </c>
      <c r="T44" s="20">
        <f t="array" ref="T44:V44">MMULT(T43:V43,$L$24:$N$26)</f>
        <v>0.45737699999999981</v>
      </c>
      <c r="U44" s="20">
        <v>0.33539699999999983</v>
      </c>
      <c r="V44" s="20">
        <v>0.20722599999999994</v>
      </c>
      <c r="X44" s="3">
        <v>7</v>
      </c>
      <c r="Y44" s="21">
        <f t="array" ref="Y44:AA44">MMULT(Y43:AA43,$L$24:$N$26)</f>
        <v>0.44943999999999995</v>
      </c>
      <c r="Z44" s="21">
        <v>0.33996799999999999</v>
      </c>
      <c r="AA44" s="21">
        <v>0.210592</v>
      </c>
    </row>
    <row r="45" spans="1:27" x14ac:dyDescent="0.25">
      <c r="E45" s="3">
        <v>8</v>
      </c>
      <c r="F45" s="15">
        <v>15</v>
      </c>
      <c r="G45" s="15">
        <v>34</v>
      </c>
      <c r="H45" s="15">
        <v>1014</v>
      </c>
      <c r="I45" s="35">
        <v>44708</v>
      </c>
      <c r="K45" s="15">
        <v>1</v>
      </c>
      <c r="L45" s="15">
        <v>0</v>
      </c>
      <c r="N45" s="3">
        <v>8</v>
      </c>
      <c r="O45" s="2">
        <v>1</v>
      </c>
      <c r="P45" s="2">
        <v>0</v>
      </c>
      <c r="Q45" s="2">
        <v>0</v>
      </c>
      <c r="S45" s="3">
        <v>8</v>
      </c>
      <c r="T45" s="20">
        <f t="array" ref="T45:V45">MMULT(T44:V44,$L$24:$N$26)</f>
        <v>0.45432269999999975</v>
      </c>
      <c r="U45" s="20">
        <v>0.33715269999999986</v>
      </c>
      <c r="V45" s="20">
        <v>0.20852459999999989</v>
      </c>
      <c r="X45" s="3">
        <v>8</v>
      </c>
      <c r="Y45" s="21">
        <f t="array" ref="Y45:AA45">MMULT(Y44:AA44,$L$24:$N$26)</f>
        <v>0.45059519999999997</v>
      </c>
      <c r="Z45" s="21">
        <v>0.33929280000000001</v>
      </c>
      <c r="AA45" s="21">
        <v>0.21011199999999999</v>
      </c>
    </row>
    <row r="46" spans="1:27" ht="15.75" thickBot="1" x14ac:dyDescent="0.3">
      <c r="E46" s="3">
        <v>9</v>
      </c>
      <c r="F46" s="15">
        <v>17</v>
      </c>
      <c r="G46" s="15">
        <v>33</v>
      </c>
      <c r="H46" s="15">
        <v>1006</v>
      </c>
      <c r="I46" s="35">
        <v>44709</v>
      </c>
      <c r="K46" s="15">
        <v>1</v>
      </c>
      <c r="L46" s="15">
        <v>0</v>
      </c>
      <c r="N46" s="3">
        <v>9</v>
      </c>
      <c r="O46" s="2">
        <v>0</v>
      </c>
      <c r="P46" s="2">
        <v>1</v>
      </c>
      <c r="Q46" s="2">
        <v>0</v>
      </c>
      <c r="S46" s="46">
        <v>9</v>
      </c>
      <c r="T46" s="47">
        <f t="array" ref="T46:V46">MMULT(T45:V45,$L$24:$N$26)</f>
        <v>0.45288696999999978</v>
      </c>
      <c r="U46" s="47">
        <v>0.33797756999999984</v>
      </c>
      <c r="V46" s="47">
        <v>0.20913545999999991</v>
      </c>
      <c r="X46" s="46">
        <v>9</v>
      </c>
      <c r="Y46" s="51">
        <f t="array" ref="Y46:AA46">MMULT(Y45:AA45,$L$24:$N$26)</f>
        <v>0.45113375999999994</v>
      </c>
      <c r="Z46" s="51">
        <v>0.33898528</v>
      </c>
      <c r="AA46" s="51">
        <v>0.20988096000000001</v>
      </c>
    </row>
    <row r="47" spans="1:27" ht="15.75" thickBot="1" x14ac:dyDescent="0.3">
      <c r="E47" s="3">
        <v>10</v>
      </c>
      <c r="F47" s="15">
        <v>16</v>
      </c>
      <c r="G47" s="15">
        <v>27</v>
      </c>
      <c r="H47" s="15">
        <v>1004</v>
      </c>
      <c r="I47" s="35">
        <v>44710</v>
      </c>
      <c r="K47" s="15">
        <v>1</v>
      </c>
      <c r="L47" s="15">
        <v>0</v>
      </c>
      <c r="N47" s="3">
        <v>10</v>
      </c>
      <c r="O47" s="2">
        <v>0</v>
      </c>
      <c r="P47" s="2">
        <v>0</v>
      </c>
      <c r="Q47" s="2">
        <v>1</v>
      </c>
      <c r="S47" s="48">
        <v>10</v>
      </c>
      <c r="T47" s="49">
        <f t="array" ref="T47:V47">MMULT(T46:V46,$L$24:$N$26)</f>
        <v>0.45221190699999975</v>
      </c>
      <c r="U47" s="49">
        <v>0.33836548699999985</v>
      </c>
      <c r="V47" s="50">
        <v>0.2094226059999999</v>
      </c>
      <c r="X47" s="48">
        <v>10</v>
      </c>
      <c r="Y47" s="52">
        <f t="array" ref="Y47:AA47">MMULT(Y46:AA46,$L$24:$N$26)</f>
        <v>0.45138774399999992</v>
      </c>
      <c r="Z47" s="52">
        <v>0.338839008</v>
      </c>
      <c r="AA47" s="53">
        <v>0.20977324799999997</v>
      </c>
    </row>
    <row r="48" spans="1:27" x14ac:dyDescent="0.25">
      <c r="E48" s="3">
        <v>11</v>
      </c>
      <c r="F48" s="15">
        <v>16</v>
      </c>
      <c r="G48" s="15">
        <v>27</v>
      </c>
      <c r="H48" s="15">
        <v>1010</v>
      </c>
      <c r="I48" s="35">
        <v>44711</v>
      </c>
      <c r="K48" s="15">
        <v>0</v>
      </c>
      <c r="L48" s="15">
        <v>1</v>
      </c>
      <c r="N48" s="3">
        <v>11</v>
      </c>
      <c r="O48" s="2">
        <v>0</v>
      </c>
      <c r="P48" s="2">
        <v>1</v>
      </c>
      <c r="Q48" s="2">
        <v>0</v>
      </c>
    </row>
    <row r="49" spans="5:27" x14ac:dyDescent="0.25">
      <c r="E49" s="3">
        <v>12</v>
      </c>
      <c r="F49" s="15">
        <v>18</v>
      </c>
      <c r="G49" s="15">
        <v>30</v>
      </c>
      <c r="H49" s="15">
        <v>1013</v>
      </c>
      <c r="I49" s="35">
        <v>44712</v>
      </c>
      <c r="K49" s="18">
        <v>0</v>
      </c>
      <c r="L49" s="15">
        <v>1</v>
      </c>
      <c r="N49" s="3">
        <v>12</v>
      </c>
      <c r="O49" s="2">
        <v>0</v>
      </c>
      <c r="P49" s="2">
        <v>1</v>
      </c>
      <c r="Q49" s="2">
        <v>0</v>
      </c>
    </row>
    <row r="50" spans="5:27" x14ac:dyDescent="0.25">
      <c r="E50" s="3">
        <v>13</v>
      </c>
      <c r="F50" s="15">
        <v>15</v>
      </c>
      <c r="G50" s="15">
        <v>32</v>
      </c>
      <c r="H50" s="15">
        <v>1013</v>
      </c>
      <c r="I50" s="35">
        <v>44713</v>
      </c>
      <c r="K50" s="15">
        <v>0</v>
      </c>
      <c r="L50" s="15">
        <v>1</v>
      </c>
      <c r="N50" s="3">
        <v>13</v>
      </c>
      <c r="O50" s="2">
        <v>1</v>
      </c>
      <c r="P50" s="2">
        <v>0</v>
      </c>
      <c r="Q50" s="2">
        <v>0</v>
      </c>
      <c r="Y50" s="12" t="s">
        <v>2</v>
      </c>
      <c r="Z50" s="12" t="s">
        <v>3</v>
      </c>
      <c r="AA50" s="12" t="s">
        <v>0</v>
      </c>
    </row>
    <row r="51" spans="5:27" x14ac:dyDescent="0.25">
      <c r="E51" s="3">
        <v>14</v>
      </c>
      <c r="F51" s="15">
        <v>16</v>
      </c>
      <c r="G51" s="15">
        <v>35</v>
      </c>
      <c r="H51" s="15">
        <v>1013</v>
      </c>
      <c r="I51" s="35">
        <v>44714</v>
      </c>
      <c r="K51" s="15">
        <v>1</v>
      </c>
      <c r="L51" s="15">
        <v>0</v>
      </c>
      <c r="N51" s="3">
        <v>14</v>
      </c>
      <c r="O51" s="2">
        <v>1</v>
      </c>
      <c r="P51" s="2">
        <v>0</v>
      </c>
      <c r="Q51" s="2">
        <v>0</v>
      </c>
      <c r="X51" s="3">
        <v>1</v>
      </c>
      <c r="Y51" s="19">
        <v>0</v>
      </c>
      <c r="Z51" s="19">
        <v>0</v>
      </c>
      <c r="AA51" s="19">
        <v>1</v>
      </c>
    </row>
    <row r="52" spans="5:27" x14ac:dyDescent="0.25">
      <c r="E52" s="3">
        <v>15</v>
      </c>
      <c r="F52" s="15">
        <v>18</v>
      </c>
      <c r="G52" s="15">
        <v>35</v>
      </c>
      <c r="H52" s="15">
        <v>1015</v>
      </c>
      <c r="I52" s="35">
        <v>44715</v>
      </c>
      <c r="K52" s="15">
        <v>1</v>
      </c>
      <c r="L52" s="15">
        <v>0</v>
      </c>
      <c r="N52" s="3">
        <v>15</v>
      </c>
      <c r="O52" s="2">
        <v>1</v>
      </c>
      <c r="P52" s="2">
        <v>0</v>
      </c>
      <c r="Q52" s="2">
        <v>0</v>
      </c>
      <c r="X52" s="3">
        <v>2</v>
      </c>
      <c r="Y52" s="2">
        <f t="array" ref="Y52:AA52">MMULT(Y51:AA51,$L$24:$N$26)</f>
        <v>0</v>
      </c>
      <c r="Z52" s="2">
        <v>0.7</v>
      </c>
      <c r="AA52" s="2">
        <v>0.3</v>
      </c>
    </row>
    <row r="53" spans="5:27" x14ac:dyDescent="0.25">
      <c r="E53" s="3">
        <v>16</v>
      </c>
      <c r="F53" s="15">
        <v>22</v>
      </c>
      <c r="G53" s="15">
        <v>35</v>
      </c>
      <c r="H53" s="15">
        <v>1015</v>
      </c>
      <c r="I53" s="35">
        <v>44716</v>
      </c>
      <c r="K53" s="15">
        <v>1</v>
      </c>
      <c r="L53" s="15">
        <v>0</v>
      </c>
      <c r="N53" s="3">
        <v>16</v>
      </c>
      <c r="O53" s="2">
        <v>1</v>
      </c>
      <c r="P53" s="2">
        <v>0</v>
      </c>
      <c r="Q53" s="2">
        <v>0</v>
      </c>
      <c r="X53" s="3">
        <v>3</v>
      </c>
      <c r="Y53" s="2">
        <f t="array" ref="Y53:AA53">MMULT(Y52:AA52,$L$24:$N$26)</f>
        <v>0.27999999999999997</v>
      </c>
      <c r="Z53" s="2">
        <v>0.42</v>
      </c>
      <c r="AA53" s="2">
        <v>0.3</v>
      </c>
    </row>
    <row r="54" spans="5:27" x14ac:dyDescent="0.25">
      <c r="E54" s="3">
        <v>17</v>
      </c>
      <c r="F54" s="15">
        <v>19</v>
      </c>
      <c r="G54" s="15">
        <v>35</v>
      </c>
      <c r="H54" s="15">
        <v>1015</v>
      </c>
      <c r="I54" s="35">
        <v>44717</v>
      </c>
      <c r="K54" s="15">
        <v>1</v>
      </c>
      <c r="L54" s="15">
        <v>0</v>
      </c>
      <c r="N54" s="3">
        <v>17</v>
      </c>
      <c r="O54" s="2">
        <v>1</v>
      </c>
      <c r="P54" s="2">
        <v>0</v>
      </c>
      <c r="Q54" s="2">
        <v>0</v>
      </c>
      <c r="X54" s="3">
        <v>4</v>
      </c>
      <c r="Y54" s="2">
        <f t="array" ref="Y54:AA54">MMULT(Y53:AA53,$L$24:$N$26)</f>
        <v>0.36399999999999999</v>
      </c>
      <c r="Z54" s="2">
        <v>0.39200000000000002</v>
      </c>
      <c r="AA54" s="2">
        <v>0.24399999999999999</v>
      </c>
    </row>
    <row r="55" spans="5:27" x14ac:dyDescent="0.25">
      <c r="E55" s="3">
        <v>18</v>
      </c>
      <c r="F55" s="15">
        <v>21</v>
      </c>
      <c r="G55" s="17">
        <v>35</v>
      </c>
      <c r="H55" s="15">
        <v>1010</v>
      </c>
      <c r="I55" s="35">
        <v>44718</v>
      </c>
      <c r="K55" s="15">
        <v>1</v>
      </c>
      <c r="L55" s="15">
        <v>0</v>
      </c>
      <c r="N55" s="3">
        <v>18</v>
      </c>
      <c r="O55" s="8">
        <v>1</v>
      </c>
      <c r="P55" s="8">
        <v>0</v>
      </c>
      <c r="Q55" s="10">
        <v>0</v>
      </c>
      <c r="X55" s="3">
        <v>5</v>
      </c>
      <c r="Y55" s="21">
        <f t="array" ref="Y55:AA55">MMULT(Y54:AA54,$L$24:$N$26)</f>
        <v>0.41159999999999997</v>
      </c>
      <c r="Z55" s="21">
        <v>0.36119999999999997</v>
      </c>
      <c r="AA55" s="21">
        <v>0.22720000000000001</v>
      </c>
    </row>
    <row r="56" spans="5:27" x14ac:dyDescent="0.25">
      <c r="E56" s="3">
        <v>19</v>
      </c>
      <c r="F56" s="15">
        <v>20</v>
      </c>
      <c r="G56" s="18">
        <v>33</v>
      </c>
      <c r="H56" s="15">
        <v>1007</v>
      </c>
      <c r="I56" s="35">
        <v>44719</v>
      </c>
      <c r="K56" s="15">
        <v>1</v>
      </c>
      <c r="L56" s="15">
        <v>0</v>
      </c>
      <c r="N56" s="3">
        <v>19</v>
      </c>
      <c r="O56" s="11">
        <v>0</v>
      </c>
      <c r="P56" s="2">
        <v>1</v>
      </c>
      <c r="Q56" s="2">
        <v>0</v>
      </c>
      <c r="X56" s="3">
        <v>6</v>
      </c>
      <c r="Y56" s="21">
        <f t="array" ref="Y56:AA56">MMULT(Y55:AA55,$L$24:$N$26)</f>
        <v>0.43259999999999993</v>
      </c>
      <c r="Z56" s="21">
        <v>0.34971999999999998</v>
      </c>
      <c r="AA56" s="21">
        <v>0.21767999999999998</v>
      </c>
    </row>
    <row r="57" spans="5:27" x14ac:dyDescent="0.25">
      <c r="E57" s="3">
        <v>20</v>
      </c>
      <c r="F57" s="15">
        <v>16</v>
      </c>
      <c r="G57" s="18">
        <v>28</v>
      </c>
      <c r="H57" s="15">
        <v>1007</v>
      </c>
      <c r="I57" s="35">
        <v>44720</v>
      </c>
      <c r="K57" s="15">
        <v>0</v>
      </c>
      <c r="L57" s="15">
        <v>1</v>
      </c>
      <c r="N57" s="3">
        <v>20</v>
      </c>
      <c r="O57" s="11">
        <v>0</v>
      </c>
      <c r="P57" s="11">
        <v>0</v>
      </c>
      <c r="Q57" s="11">
        <v>1</v>
      </c>
      <c r="X57" s="3">
        <v>7</v>
      </c>
      <c r="Y57" s="21">
        <f t="array" ref="Y57:AA57">MMULT(Y56:AA56,$L$24:$N$26)</f>
        <v>0.44270799999999988</v>
      </c>
      <c r="Z57" s="21">
        <v>0.34381200000000001</v>
      </c>
      <c r="AA57" s="21">
        <v>0.21347999999999995</v>
      </c>
    </row>
    <row r="58" spans="5:27" x14ac:dyDescent="0.25">
      <c r="E58" s="3">
        <v>21</v>
      </c>
      <c r="F58" s="15">
        <v>16</v>
      </c>
      <c r="G58" s="18">
        <v>22</v>
      </c>
      <c r="H58" s="15">
        <v>1004</v>
      </c>
      <c r="I58" s="35">
        <v>44721</v>
      </c>
      <c r="K58" s="15">
        <v>1</v>
      </c>
      <c r="L58" s="15">
        <v>0</v>
      </c>
      <c r="N58" s="3">
        <v>21</v>
      </c>
      <c r="O58" s="11">
        <v>0</v>
      </c>
      <c r="P58" s="11">
        <v>0</v>
      </c>
      <c r="Q58" s="11">
        <v>1</v>
      </c>
      <c r="X58" s="3">
        <v>8</v>
      </c>
      <c r="Y58" s="21">
        <f t="array" ref="Y58:AA58">MMULT(Y57:AA57,$L$24:$N$26)</f>
        <v>0.44742039999999988</v>
      </c>
      <c r="Z58" s="21">
        <v>0.34112119999999996</v>
      </c>
      <c r="AA58" s="21">
        <v>0.21145839999999999</v>
      </c>
    </row>
    <row r="59" spans="5:27" ht="15.75" thickBot="1" x14ac:dyDescent="0.3">
      <c r="K59" s="36">
        <f>SUM(K38:K58)</f>
        <v>11</v>
      </c>
      <c r="L59" s="36">
        <f>SUM(L38:L58)</f>
        <v>10</v>
      </c>
      <c r="O59">
        <f>SUM(O38:O58)</f>
        <v>11</v>
      </c>
      <c r="P59">
        <f t="shared" ref="P59:Q59" si="3">SUM(P38:P58)</f>
        <v>6</v>
      </c>
      <c r="Q59">
        <f t="shared" si="3"/>
        <v>4</v>
      </c>
      <c r="X59" s="46">
        <v>9</v>
      </c>
      <c r="Y59" s="51">
        <f t="array" ref="Y59:AA59">MMULT(Y58:AA58,$L$24:$N$26)</f>
        <v>0.44964275999999986</v>
      </c>
      <c r="Z59" s="51">
        <v>0.33984132</v>
      </c>
      <c r="AA59" s="51">
        <v>0.21051591999999997</v>
      </c>
    </row>
    <row r="60" spans="5:27" ht="15.75" thickBot="1" x14ac:dyDescent="0.3">
      <c r="X60" s="48">
        <v>10</v>
      </c>
      <c r="Y60" s="52">
        <f t="array" ref="Y60:AA60">MMULT(Y59:AA59,$L$24:$N$26)</f>
        <v>0.4506864599999999</v>
      </c>
      <c r="Z60" s="52">
        <v>0.339242092</v>
      </c>
      <c r="AA60" s="53">
        <v>0.21007144799999999</v>
      </c>
    </row>
    <row r="62" spans="5:27" x14ac:dyDescent="0.25">
      <c r="E62" t="s">
        <v>16</v>
      </c>
    </row>
    <row r="63" spans="5:27" x14ac:dyDescent="0.25">
      <c r="V63" t="s">
        <v>4</v>
      </c>
    </row>
    <row r="64" spans="5:27" x14ac:dyDescent="0.25">
      <c r="E64" t="s">
        <v>15</v>
      </c>
      <c r="R64" t="s">
        <v>2</v>
      </c>
      <c r="V64" s="15">
        <v>0.7</v>
      </c>
      <c r="W64" s="15">
        <v>0.2</v>
      </c>
      <c r="X64" s="15">
        <v>0.1</v>
      </c>
      <c r="Y64" s="36"/>
    </row>
    <row r="65" spans="5:28" x14ac:dyDescent="0.25">
      <c r="R65" s="42">
        <v>1</v>
      </c>
      <c r="S65" s="43">
        <v>0</v>
      </c>
      <c r="T65" s="44">
        <v>0</v>
      </c>
      <c r="U65" s="36" t="s">
        <v>45</v>
      </c>
      <c r="V65" s="15">
        <v>0.4</v>
      </c>
      <c r="W65" s="15">
        <v>0.3</v>
      </c>
      <c r="X65" s="15">
        <v>0.3</v>
      </c>
      <c r="Y65" s="36" t="s">
        <v>46</v>
      </c>
      <c r="Z65" s="39">
        <v>0.7</v>
      </c>
      <c r="AA65" s="40">
        <v>0.2</v>
      </c>
      <c r="AB65" s="41">
        <v>0.1</v>
      </c>
    </row>
    <row r="66" spans="5:28" x14ac:dyDescent="0.25">
      <c r="E66" s="22" t="s">
        <v>2</v>
      </c>
      <c r="F66" s="23" t="s">
        <v>20</v>
      </c>
      <c r="G66" s="23" t="s">
        <v>3</v>
      </c>
      <c r="H66" s="23" t="s">
        <v>20</v>
      </c>
      <c r="I66" s="24" t="s">
        <v>0</v>
      </c>
      <c r="V66" s="15">
        <v>0</v>
      </c>
      <c r="W66" s="15">
        <v>0.7</v>
      </c>
      <c r="X66" s="15">
        <v>0.3</v>
      </c>
      <c r="Y66" s="36"/>
    </row>
    <row r="67" spans="5:28" x14ac:dyDescent="0.25">
      <c r="E67" s="25" t="s">
        <v>21</v>
      </c>
      <c r="F67" s="26"/>
      <c r="G67" s="26" t="s">
        <v>21</v>
      </c>
      <c r="H67" s="26"/>
      <c r="I67" s="27" t="s">
        <v>21</v>
      </c>
      <c r="Y67" s="36"/>
    </row>
    <row r="68" spans="5:28" x14ac:dyDescent="0.25">
      <c r="E68" s="28" t="s">
        <v>12</v>
      </c>
      <c r="F68" s="29"/>
      <c r="G68" s="29" t="s">
        <v>14</v>
      </c>
      <c r="H68" s="29"/>
      <c r="I68" s="30" t="s">
        <v>12</v>
      </c>
      <c r="V68" s="15">
        <v>0.7</v>
      </c>
      <c r="W68" s="15">
        <v>0.2</v>
      </c>
      <c r="X68" s="15">
        <v>0.1</v>
      </c>
      <c r="Y68" s="36"/>
    </row>
    <row r="69" spans="5:28" ht="15.75" thickBot="1" x14ac:dyDescent="0.3">
      <c r="R69" s="39">
        <v>0.7</v>
      </c>
      <c r="S69" s="40">
        <v>0.2</v>
      </c>
      <c r="T69" s="41">
        <v>0.1</v>
      </c>
      <c r="U69" s="36" t="s">
        <v>47</v>
      </c>
      <c r="V69" s="15">
        <v>0.4</v>
      </c>
      <c r="W69" s="15">
        <v>0.3</v>
      </c>
      <c r="X69" s="15">
        <v>0.3</v>
      </c>
      <c r="Y69" s="36" t="s">
        <v>42</v>
      </c>
      <c r="Z69" s="39">
        <v>0.56999999999999995</v>
      </c>
      <c r="AA69" s="40">
        <v>0.26999999999999996</v>
      </c>
      <c r="AB69" s="41">
        <v>0.16</v>
      </c>
    </row>
    <row r="70" spans="5:28" ht="15.75" thickBot="1" x14ac:dyDescent="0.3">
      <c r="E70" s="32" t="s">
        <v>18</v>
      </c>
      <c r="F70" s="32"/>
      <c r="G70" s="32"/>
      <c r="H70" s="32" t="s">
        <v>19</v>
      </c>
      <c r="I70" s="32"/>
      <c r="L70" s="37" t="s">
        <v>41</v>
      </c>
      <c r="M70" s="37">
        <f>E71*H71*E75*H75*E79*H79</f>
        <v>7.8345712887749972E-3</v>
      </c>
      <c r="N70" s="37" t="s">
        <v>42</v>
      </c>
      <c r="O70" s="38">
        <f>M70</f>
        <v>7.8345712887749972E-3</v>
      </c>
      <c r="V70" s="15">
        <v>0</v>
      </c>
      <c r="W70" s="15">
        <v>0.7</v>
      </c>
      <c r="X70" s="15">
        <v>0.3</v>
      </c>
    </row>
    <row r="71" spans="5:28" x14ac:dyDescent="0.25">
      <c r="E71" s="45">
        <f>T47</f>
        <v>0.45221190699999975</v>
      </c>
      <c r="F71" s="32"/>
      <c r="G71" s="32"/>
      <c r="H71" s="32">
        <f>L31</f>
        <v>0.55000000000000004</v>
      </c>
      <c r="I71" s="32"/>
    </row>
    <row r="72" spans="5:28" x14ac:dyDescent="0.25">
      <c r="E72" s="32"/>
      <c r="F72" s="32"/>
      <c r="G72" s="32"/>
      <c r="H72" s="32"/>
      <c r="I72" s="32"/>
      <c r="R72" t="s">
        <v>48</v>
      </c>
    </row>
    <row r="73" spans="5:28" x14ac:dyDescent="0.25">
      <c r="E73" s="32"/>
      <c r="F73" s="32"/>
      <c r="G73" s="32"/>
      <c r="H73" s="32"/>
      <c r="I73" s="32"/>
    </row>
    <row r="74" spans="5:28" x14ac:dyDescent="0.25">
      <c r="E74" s="32" t="s">
        <v>24</v>
      </c>
      <c r="F74" s="32"/>
      <c r="G74" s="32"/>
      <c r="H74" s="32" t="s">
        <v>25</v>
      </c>
      <c r="I74" s="32"/>
    </row>
    <row r="75" spans="5:28" x14ac:dyDescent="0.25">
      <c r="E75" s="32">
        <f>M24</f>
        <v>0.2</v>
      </c>
      <c r="F75" s="32"/>
      <c r="G75" s="32"/>
      <c r="H75" s="32">
        <f>M32</f>
        <v>0.7</v>
      </c>
      <c r="I75" s="32"/>
    </row>
    <row r="76" spans="5:28" x14ac:dyDescent="0.25">
      <c r="E76" s="32"/>
      <c r="F76" s="32"/>
      <c r="G76" s="32"/>
      <c r="H76" s="32"/>
      <c r="I76" s="32"/>
    </row>
    <row r="77" spans="5:28" x14ac:dyDescent="0.25">
      <c r="E77" s="32"/>
      <c r="F77" s="32"/>
      <c r="G77" s="32"/>
      <c r="H77" s="32"/>
      <c r="I77" s="32"/>
    </row>
    <row r="78" spans="5:28" x14ac:dyDescent="0.25">
      <c r="E78" s="32" t="s">
        <v>27</v>
      </c>
      <c r="F78" s="32"/>
      <c r="G78" s="32"/>
      <c r="H78" s="32" t="s">
        <v>26</v>
      </c>
      <c r="I78" s="32"/>
    </row>
    <row r="79" spans="5:28" x14ac:dyDescent="0.25">
      <c r="E79" s="32">
        <f>N25</f>
        <v>0.3</v>
      </c>
      <c r="F79" s="32"/>
      <c r="G79" s="32"/>
      <c r="H79" s="32">
        <f>L33</f>
        <v>0.75</v>
      </c>
      <c r="I79" s="32"/>
    </row>
    <row r="80" spans="5:28" x14ac:dyDescent="0.25">
      <c r="E80" s="32"/>
      <c r="F80" s="32"/>
      <c r="G80" s="32"/>
      <c r="H80" s="32"/>
      <c r="I80" s="32"/>
    </row>
    <row r="82" spans="5:15" x14ac:dyDescent="0.25">
      <c r="E82" t="s">
        <v>43</v>
      </c>
    </row>
    <row r="84" spans="5:15" x14ac:dyDescent="0.25">
      <c r="E84" s="22" t="s">
        <v>2</v>
      </c>
      <c r="F84" s="23" t="s">
        <v>20</v>
      </c>
      <c r="G84" s="23" t="s">
        <v>2</v>
      </c>
      <c r="H84" s="23" t="s">
        <v>20</v>
      </c>
      <c r="I84" s="24" t="s">
        <v>2</v>
      </c>
    </row>
    <row r="85" spans="5:15" x14ac:dyDescent="0.25">
      <c r="E85" s="25" t="s">
        <v>21</v>
      </c>
      <c r="F85" s="26"/>
      <c r="G85" s="26" t="s">
        <v>21</v>
      </c>
      <c r="H85" s="26"/>
      <c r="I85" s="27" t="s">
        <v>21</v>
      </c>
    </row>
    <row r="86" spans="5:15" x14ac:dyDescent="0.25">
      <c r="E86" s="28" t="s">
        <v>12</v>
      </c>
      <c r="F86" s="29"/>
      <c r="G86" s="29" t="s">
        <v>12</v>
      </c>
      <c r="H86" s="29"/>
      <c r="I86" s="30" t="s">
        <v>12</v>
      </c>
    </row>
    <row r="88" spans="5:15" x14ac:dyDescent="0.25">
      <c r="E88" t="s">
        <v>18</v>
      </c>
      <c r="H88" t="s">
        <v>19</v>
      </c>
    </row>
    <row r="89" spans="5:15" ht="15.75" thickBot="1" x14ac:dyDescent="0.3">
      <c r="E89" s="31">
        <f>T47</f>
        <v>0.45221190699999975</v>
      </c>
      <c r="H89">
        <f>L31</f>
        <v>0.55000000000000004</v>
      </c>
    </row>
    <row r="90" spans="5:15" ht="15.75" thickBot="1" x14ac:dyDescent="0.3">
      <c r="L90" s="37" t="s">
        <v>41</v>
      </c>
      <c r="M90" s="37">
        <f>E89*H89*E93*H93*E97*H97</f>
        <v>3.6866010453291236E-2</v>
      </c>
      <c r="N90" s="37" t="s">
        <v>42</v>
      </c>
      <c r="O90" s="38">
        <f>M90</f>
        <v>3.6866010453291236E-2</v>
      </c>
    </row>
    <row r="92" spans="5:15" x14ac:dyDescent="0.25">
      <c r="E92" t="s">
        <v>28</v>
      </c>
      <c r="H92" t="s">
        <v>22</v>
      </c>
    </row>
    <row r="93" spans="5:15" x14ac:dyDescent="0.25">
      <c r="E93">
        <f>L24</f>
        <v>0.7</v>
      </c>
      <c r="H93">
        <f>L31</f>
        <v>0.55000000000000004</v>
      </c>
    </row>
    <row r="96" spans="5:15" x14ac:dyDescent="0.25">
      <c r="E96" t="s">
        <v>29</v>
      </c>
      <c r="H96" t="s">
        <v>23</v>
      </c>
    </row>
    <row r="97" spans="5:15" x14ac:dyDescent="0.25">
      <c r="E97">
        <f>L24</f>
        <v>0.7</v>
      </c>
      <c r="H97">
        <f>L31</f>
        <v>0.55000000000000004</v>
      </c>
    </row>
    <row r="101" spans="5:15" x14ac:dyDescent="0.25">
      <c r="E101" t="s">
        <v>44</v>
      </c>
    </row>
    <row r="103" spans="5:15" x14ac:dyDescent="0.25">
      <c r="E103" s="22" t="s">
        <v>0</v>
      </c>
      <c r="F103" s="23" t="s">
        <v>20</v>
      </c>
      <c r="G103" s="23" t="s">
        <v>3</v>
      </c>
      <c r="H103" s="23" t="s">
        <v>20</v>
      </c>
      <c r="I103" s="24" t="s">
        <v>3</v>
      </c>
    </row>
    <row r="104" spans="5:15" x14ac:dyDescent="0.25">
      <c r="E104" s="25" t="s">
        <v>21</v>
      </c>
      <c r="F104" s="26"/>
      <c r="G104" s="26" t="s">
        <v>21</v>
      </c>
      <c r="H104" s="26"/>
      <c r="I104" s="27" t="s">
        <v>21</v>
      </c>
    </row>
    <row r="105" spans="5:15" x14ac:dyDescent="0.25">
      <c r="E105" s="28" t="s">
        <v>12</v>
      </c>
      <c r="F105" s="29"/>
      <c r="G105" s="29" t="s">
        <v>13</v>
      </c>
      <c r="H105" s="29"/>
      <c r="I105" s="30" t="s">
        <v>14</v>
      </c>
    </row>
    <row r="107" spans="5:15" ht="15.75" thickBot="1" x14ac:dyDescent="0.3">
      <c r="E107" t="s">
        <v>30</v>
      </c>
      <c r="H107" t="s">
        <v>31</v>
      </c>
    </row>
    <row r="108" spans="5:15" ht="15.75" thickBot="1" x14ac:dyDescent="0.3">
      <c r="E108" s="31">
        <f>V47</f>
        <v>0.2094226059999999</v>
      </c>
      <c r="H108">
        <f>L33</f>
        <v>0.75</v>
      </c>
      <c r="L108" s="37" t="s">
        <v>41</v>
      </c>
      <c r="M108" s="37">
        <f>E108*H108*(E112*H112*E116*H116)</f>
        <v>2.1549586157399984E-2</v>
      </c>
      <c r="N108" s="37" t="s">
        <v>42</v>
      </c>
      <c r="O108" s="38">
        <f>M108</f>
        <v>2.1549586157399984E-2</v>
      </c>
    </row>
    <row r="111" spans="5:15" x14ac:dyDescent="0.25">
      <c r="E111" t="s">
        <v>32</v>
      </c>
      <c r="H111" t="s">
        <v>25</v>
      </c>
    </row>
    <row r="112" spans="5:15" x14ac:dyDescent="0.25">
      <c r="E112">
        <f>M26</f>
        <v>0.7</v>
      </c>
      <c r="H112">
        <f>M32</f>
        <v>0.7</v>
      </c>
    </row>
    <row r="115" spans="5:8" x14ac:dyDescent="0.25">
      <c r="E115" t="s">
        <v>34</v>
      </c>
      <c r="H115" t="s">
        <v>33</v>
      </c>
    </row>
    <row r="116" spans="5:8" x14ac:dyDescent="0.25">
      <c r="E116">
        <f>L25</f>
        <v>0.4</v>
      </c>
      <c r="H116">
        <f>M32</f>
        <v>0.7</v>
      </c>
    </row>
  </sheetData>
  <mergeCells count="7">
    <mergeCell ref="F36:F37"/>
    <mergeCell ref="G36:G37"/>
    <mergeCell ref="H36:H37"/>
    <mergeCell ref="A2:C2"/>
    <mergeCell ref="L21:M21"/>
    <mergeCell ref="E2:I2"/>
    <mergeCell ref="I36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2022-06-28T21:37:24Z</dcterms:modified>
</cp:coreProperties>
</file>